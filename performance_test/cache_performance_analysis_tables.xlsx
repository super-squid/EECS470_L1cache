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2"/>
  </bookViews>
  <sheets>
    <sheet name="All Results" sheetId="1" r:id="rId1"/>
    <sheet name="Comparison" sheetId="2" r:id="rId2"/>
    <sheet name="Summ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<sst xmlns="http://schemas.openxmlformats.org/spreadsheetml/2006/main" count="191" uniqueCount="81">
  <si>
    <t>Program</t>
  </si>
  <si>
    <t>Config</t>
  </si>
  <si>
    <t>Cache configuration</t>
  </si>
  <si>
    <t>Cycles</t>
  </si>
  <si>
    <t>Loads</t>
  </si>
  <si>
    <t>Stores</t>
  </si>
  <si>
    <t>MemOps</t>
  </si>
  <si>
    <t>L1 Reads</t>
  </si>
  <si>
    <t>L1 Writes</t>
  </si>
  <si>
    <t>L1 Total</t>
  </si>
  <si>
    <t>Victim Hits</t>
  </si>
  <si>
    <t>Victim Hit Rate</t>
  </si>
  <si>
    <t>Prefetch Issues</t>
  </si>
  <si>
    <t>Prefetch Fills</t>
  </si>
  <si>
    <t>Prefetch Hits</t>
  </si>
  <si>
    <t>Prefetch Hit Rate</t>
  </si>
  <si>
    <t>ASSOC</t>
  </si>
  <si>
    <t>DRAM Reads</t>
  </si>
  <si>
    <t>DRAM Writes</t>
  </si>
  <si>
    <t>DRAM Total</t>
  </si>
  <si>
    <t>DRAM Reads/MemOp</t>
  </si>
  <si>
    <t>perf_01_sequential_stream</t>
  </si>
  <si>
    <t>baseline</t>
  </si>
  <si>
    <t>baseline: CPU -&gt; simple_dcache -&gt; DRAM</t>
  </si>
  <si>
    <t>victim</t>
  </si>
  <si>
    <t>victim: CPU -&gt; simple_dcache -&gt; victim_cache -&gt; DRAM</t>
  </si>
  <si>
    <t>prefetch</t>
  </si>
  <si>
    <t>prefetch: CPU -&gt; simple_dcache -&gt; next_line_prefetcher -&gt; DRAM</t>
  </si>
  <si>
    <t>perf_02_conflict_thrash</t>
  </si>
  <si>
    <t>2-way</t>
  </si>
  <si>
    <t>2-way: CPU -&gt; two_way_dcache(ASSOC=2) -&gt; DRAM</t>
  </si>
  <si>
    <t>4-way</t>
  </si>
  <si>
    <t>4-way: CPU -&gt; two_way_dcache(ASSOC=4) -&gt; DRAM</t>
  </si>
  <si>
    <t>perf_08_victim_ping_pong</t>
  </si>
  <si>
    <t>perf_09_next_line_prefetch_stream</t>
  </si>
  <si>
    <t>perf_10_dirty_writeback_pressure</t>
  </si>
  <si>
    <t>Comparison</t>
  </si>
  <si>
    <t>Base Config</t>
  </si>
  <si>
    <t>Test Config</t>
  </si>
  <si>
    <t>Base Cycles</t>
  </si>
  <si>
    <t>Test Cycles</t>
  </si>
  <si>
    <t>Cycle Reduction</t>
  </si>
  <si>
    <t>Cycle Reduction %</t>
  </si>
  <si>
    <t>Base DRAM Reads</t>
  </si>
  <si>
    <t>Test DRAM Reads</t>
  </si>
  <si>
    <t>DRAM Read Reduction</t>
  </si>
  <si>
    <t>DRAM Read Reduction %</t>
  </si>
  <si>
    <t>Base DRAM Total</t>
  </si>
  <si>
    <t>Test DRAM Total</t>
  </si>
  <si>
    <t>DRAM Total Reduction</t>
  </si>
  <si>
    <t>DRAM Total Reduction %</t>
  </si>
  <si>
    <t>Conclusion</t>
  </si>
  <si>
    <t>baseline vs victim</t>
  </si>
  <si>
    <t>Victim cache matches baseline on sequential stream; no recently evicted reuse appears.</t>
  </si>
  <si>
    <t>Victim cache gives no read reduction because the conflict pattern has a long reuse distance.</t>
  </si>
  <si>
    <t>Victim cache reduces DRAM reads on ping-pong conflict reuse.</t>
  </si>
  <si>
    <t>Victim cache reduces DRAM reads under dirty writeback pressure.</t>
  </si>
  <si>
    <t>baseline vs prefetch</t>
  </si>
  <si>
    <t>Prefetch lowers cycles on sequential stream, with extra speculative DRAM reads.</t>
  </si>
  <si>
    <t>Prefetch strongly lowers cycles on next-line stream with very high prefetch-hit coverage.</t>
  </si>
  <si>
    <t>baseline vs 2-way</t>
  </si>
  <si>
    <t>2-way reduces cycles and DRAM writes; DRAM reads remain unchanged.</t>
  </si>
  <si>
    <t>2-way nearly eliminates repeated ping-pong read misses; two ways are enough for this pattern.</t>
  </si>
  <si>
    <t>baseline vs 4-way</t>
  </si>
  <si>
    <t>4-way matches 2-way on this tested pattern; more than two ways does not add benefit here.</t>
  </si>
  <si>
    <t>4-way matches 2-way on ping-pong conflict; two ways already hold the working set.</t>
  </si>
  <si>
    <t>Baseline Cycles</t>
  </si>
  <si>
    <t>Victim Cycles</t>
  </si>
  <si>
    <t>Baseline DRAM Reads</t>
  </si>
  <si>
    <t>Victim DRAM Reads</t>
  </si>
  <si>
    <t>Message</t>
  </si>
  <si>
    <t>Victim cache helps when recently evicted blocks are reused.</t>
  </si>
  <si>
    <t>Victim cache still helps under dirty writeback pressure.</t>
  </si>
  <si>
    <t>Victim cache does not help when reuse distance exceeds victim capacity.</t>
  </si>
  <si>
    <t>Prefetch Cycles</t>
  </si>
  <si>
    <t>DRAM Reads Change</t>
  </si>
  <si>
    <t>Sequential stream benefits in cycles, with extra speculative reads.</t>
  </si>
  <si>
    <t>Target prefetch stream gets strong cycle reduction and high prefetch hit coverage.</t>
  </si>
  <si>
    <t/>
  </si>
  <si>
    <t>2-way/4-way reduce write traffic but not read misses.</t>
  </si>
  <si>
    <t>2-way and 4-way match; associativity resolves ping-pong conflict.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</si>
</sst>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0" fillId="3" borderId="0" xfId="49" applyFont="1" applyFill="1"/>
    <xf numFmtId="0" fontId="0" fillId="0" borderId="1" xfId="49" applyBorder="1"/>
    <xf numFmtId="10" fontId="0" fillId="0" borderId="1" xfId="49" applyNumberFormat="1" applyFont="1" applyFill="1" applyBorder="1"/>
    <xf numFmtId="10" fontId="0" fillId="0" borderId="0" xfId="49" applyNumberFormat="1" applyFont="1" applyFill="1" applyBorder="1"/>
    <xf numFmtId="10" fontId="1" fillId="2" borderId="1" xfId="49" applyNumberFormat="1" applyFont="1" applyFill="1" applyBorder="1" applyAlignment="1">
      <alignment horizontal="center" vertical="center" wrapText="1"/>
    </xf>
    <xf numFmtId="176" fontId="0" fillId="0" borderId="1" xfId="49" applyNumberFormat="1" applyFont="1" applyFill="1" applyBorder="1"/>
    <xf numFmtId="0" fontId="1" fillId="2" borderId="0" xfId="49" applyNumberFormat="1" applyFont="1" applyFill="1" applyBorder="1" applyAlignment="1">
      <alignment horizontal="center" vertical="center" wrapText="1"/>
    </xf>
    <xf numFmtId="0" fontId="0" fillId="2" borderId="0" xfId="49" applyNumberFormat="1" applyFont="1" applyFill="1" applyBorder="1" applyAlignment="1">
      <alignment wrapText="1"/>
    </xf>
    <xf numFmtId="10" fontId="0" fillId="2" borderId="0" xfId="49" applyNumberFormat="1" applyFont="1" applyFill="1" applyBorder="1" applyAlignment="1">
      <alignment wrapText="1"/>
    </xf>
    <xf numFmtId="176" fontId="0" fillId="2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60"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9"/>
      <tableStyleElement type="headerRow" dxfId="48"/>
      <tableStyleElement type="totalRow" dxfId="47"/>
      <tableStyleElement type="firstColumn" dxfId="46"/>
      <tableStyleElement type="lastColumn" dxfId="45"/>
      <tableStyleElement type="firstRowStripe" dxfId="44"/>
      <tableStyleElement type="firstColumnStripe" dxfId="43"/>
    </tableStyle>
    <tableStyle name="PivotStylePreset2_Accent1" table="0" count="10" xr9:uid="{267968C8-6FFD-4C36-ACC1-9EA1FD1885CA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llResultsTable" displayName="AllResultsTable" ref="A1:U16">
  <tableColumns count="21">
    <tableColumn id="1" name="Program" dataDxfId="0"/>
    <tableColumn id="2" name="Config" dataDxfId="1"/>
    <tableColumn id="3" name="Cache configuration" dataDxfId="2"/>
    <tableColumn id="4" name="Cycles" dataDxfId="3"/>
    <tableColumn id="5" name="Loads" dataDxfId="4"/>
    <tableColumn id="6" name="Stores" dataDxfId="5"/>
    <tableColumn id="7" name="MemOps" dataDxfId="6"/>
    <tableColumn id="8" name="L1 Reads" dataDxfId="7"/>
    <tableColumn id="9" name="L1 Writes" dataDxfId="8"/>
    <tableColumn id="10" name="L1 Total" dataDxfId="9"/>
    <tableColumn id="11" name="Victim Hits" dataDxfId="10"/>
    <tableColumn id="12" name="Victim Hit Rate" dataDxfId="11"/>
    <tableColumn id="13" name="Prefetch Issues" dataDxfId="12"/>
    <tableColumn id="14" name="Prefetch Fills" dataDxfId="13"/>
    <tableColumn id="15" name="Prefetch Hits" dataDxfId="14"/>
    <tableColumn id="16" name="Prefetch Hit Rate" dataDxfId="15"/>
    <tableColumn id="17" name="ASSOC" dataDxfId="16"/>
    <tableColumn id="18" name="DRAM Reads" dataDxfId="17"/>
    <tableColumn id="19" name="DRAM Writes" dataDxfId="18"/>
    <tableColumn id="20" name="DRAM Total" dataDxfId="19"/>
    <tableColumn id="21" name="DRAM Reads/MemOp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mparisonTable" displayName="ComparisonTable" ref="A1:V11">
  <tableColumns count="22">
    <tableColumn id="1" name="Program" dataDxfId="21"/>
    <tableColumn id="2" name="Comparison" dataDxfId="22"/>
    <tableColumn id="3" name="Base Config" dataDxfId="23"/>
    <tableColumn id="4" name="Test Config" dataDxfId="24"/>
    <tableColumn id="5" name="Base Cycles" dataDxfId="25"/>
    <tableColumn id="6" name="Test Cycles" dataDxfId="26"/>
    <tableColumn id="7" name="Cycle Reduction" dataDxfId="27"/>
    <tableColumn id="8" name="Cycle Reduction %" dataDxfId="28"/>
    <tableColumn id="9" name="Base DRAM Reads" dataDxfId="29"/>
    <tableColumn id="10" name="Test DRAM Reads" dataDxfId="30"/>
    <tableColumn id="11" name="DRAM Read Reduction" dataDxfId="31"/>
    <tableColumn id="12" name="DRAM Read Reduction %" dataDxfId="32"/>
    <tableColumn id="13" name="Base DRAM Total" dataDxfId="33"/>
    <tableColumn id="14" name="Test DRAM Total" dataDxfId="34"/>
    <tableColumn id="15" name="DRAM Total Reduction" dataDxfId="35"/>
    <tableColumn id="16" name="DRAM Total Reduction %" dataDxfId="36"/>
    <tableColumn id="17" name="Victim Hits" dataDxfId="37"/>
    <tableColumn id="18" name="Victim Hit Rate" dataDxfId="38"/>
    <tableColumn id="19" name="Prefetch Hits" dataDxfId="39"/>
    <tableColumn id="20" name="Prefetch Hit Rate" dataDxfId="40"/>
    <tableColumn id="21" name="ASSOC" dataDxfId="41"/>
    <tableColumn id="22" name="Conclusion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6"/>
  <sheetViews>
    <sheetView workbookViewId="0">
      <selection activeCell="A1" sqref="A1"/>
    </sheetView>
  </sheetViews>
  <sheetFormatPr defaultColWidth="9" defaultRowHeight="14"/>
  <cols>
    <col min="1" max="1" width="26" customWidth="1"/>
    <col min="2" max="2" width="12" customWidth="1"/>
    <col min="3" max="3" width="42" customWidth="1"/>
    <col min="4" max="10" width="10" customWidth="1"/>
    <col min="11" max="11" width="12" customWidth="1"/>
    <col min="12" max="15" width="14" customWidth="1"/>
    <col min="16" max="16" width="16" customWidth="1"/>
    <col min="17" max="17" width="8" customWidth="1"/>
    <col min="18" max="20" width="12" customWidth="1"/>
    <col min="21" max="21" width="14" customWidth="1"/>
    <col min="22" max="22" width="32" customWidth="1"/>
  </cols>
  <sheetData>
    <row r="1" ht="28" spans="1:2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>
      <c r="A2" s="9" t="s">
        <v>21</v>
      </c>
      <c r="B2" s="9" t="s">
        <v>22</v>
      </c>
      <c r="C2" s="9" t="s">
        <v>23</v>
      </c>
      <c r="D2" s="9">
        <v>12055</v>
      </c>
      <c r="E2" s="9">
        <v>1440</v>
      </c>
      <c r="F2" s="9">
        <v>720</v>
      </c>
      <c r="G2" s="9">
        <v>2160</v>
      </c>
      <c r="H2" s="9">
        <v>180</v>
      </c>
      <c r="I2" s="9">
        <v>892</v>
      </c>
      <c r="J2" s="9">
        <v>1072</v>
      </c>
      <c r="K2" s="9"/>
      <c r="L2" s="10"/>
      <c r="M2" s="9"/>
      <c r="N2" s="9"/>
      <c r="O2" s="9"/>
      <c r="P2" s="10"/>
      <c r="Q2" s="9"/>
      <c r="R2" s="9">
        <v>180</v>
      </c>
      <c r="S2" s="9">
        <v>892</v>
      </c>
      <c r="T2" s="9">
        <v>1072</v>
      </c>
      <c r="U2" s="11">
        <v>0.083</v>
      </c>
    </row>
    <row r="3" ht="28" spans="1:21">
      <c r="A3" s="9" t="s">
        <v>21</v>
      </c>
      <c r="B3" s="9" t="s">
        <v>24</v>
      </c>
      <c r="C3" s="9" t="s">
        <v>25</v>
      </c>
      <c r="D3" s="9">
        <v>12055</v>
      </c>
      <c r="E3" s="9">
        <v>1440</v>
      </c>
      <c r="F3" s="9">
        <v>720</v>
      </c>
      <c r="G3" s="9">
        <v>2160</v>
      </c>
      <c r="H3" s="9">
        <v>180</v>
      </c>
      <c r="I3" s="9">
        <v>892</v>
      </c>
      <c r="J3" s="9">
        <v>1072</v>
      </c>
      <c r="K3" s="9">
        <v>0</v>
      </c>
      <c r="L3" s="10">
        <v>0</v>
      </c>
      <c r="M3" s="9"/>
      <c r="N3" s="9"/>
      <c r="O3" s="9"/>
      <c r="P3" s="10"/>
      <c r="Q3" s="9"/>
      <c r="R3" s="9">
        <v>180</v>
      </c>
      <c r="S3" s="9">
        <v>892</v>
      </c>
      <c r="T3" s="9">
        <v>1072</v>
      </c>
      <c r="U3" s="11">
        <v>0.083</v>
      </c>
    </row>
    <row r="4" ht="28" spans="1:21">
      <c r="A4" s="9" t="s">
        <v>21</v>
      </c>
      <c r="B4" s="9" t="s">
        <v>26</v>
      </c>
      <c r="C4" s="9" t="s">
        <v>27</v>
      </c>
      <c r="D4" s="9">
        <v>11650</v>
      </c>
      <c r="E4" s="9">
        <v>1440</v>
      </c>
      <c r="F4" s="9">
        <v>720</v>
      </c>
      <c r="G4" s="9">
        <v>2160</v>
      </c>
      <c r="H4" s="9">
        <v>180</v>
      </c>
      <c r="I4" s="9">
        <v>892</v>
      </c>
      <c r="J4" s="9">
        <v>1072</v>
      </c>
      <c r="K4" s="9"/>
      <c r="L4" s="10"/>
      <c r="M4" s="9">
        <v>180</v>
      </c>
      <c r="N4" s="9">
        <v>180</v>
      </c>
      <c r="O4" s="9">
        <v>135</v>
      </c>
      <c r="P4" s="10">
        <v>0.75</v>
      </c>
      <c r="Q4" s="9"/>
      <c r="R4" s="9">
        <v>225</v>
      </c>
      <c r="S4" s="9">
        <v>892</v>
      </c>
      <c r="T4" s="9">
        <v>1117</v>
      </c>
      <c r="U4" s="11">
        <v>0.104</v>
      </c>
    </row>
    <row r="5" spans="1:21">
      <c r="A5" s="9" t="s">
        <v>28</v>
      </c>
      <c r="B5" s="9" t="s">
        <v>22</v>
      </c>
      <c r="C5" s="9" t="s">
        <v>23</v>
      </c>
      <c r="D5" s="9">
        <v>12461</v>
      </c>
      <c r="E5" s="9">
        <v>1040</v>
      </c>
      <c r="F5" s="9">
        <v>520</v>
      </c>
      <c r="G5" s="9">
        <v>1560</v>
      </c>
      <c r="H5" s="9">
        <v>520</v>
      </c>
      <c r="I5" s="9">
        <v>1039</v>
      </c>
      <c r="J5" s="9">
        <v>1559</v>
      </c>
      <c r="K5" s="9"/>
      <c r="L5" s="10"/>
      <c r="M5" s="9"/>
      <c r="N5" s="9"/>
      <c r="O5" s="9"/>
      <c r="P5" s="10"/>
      <c r="Q5" s="9"/>
      <c r="R5" s="9">
        <v>520</v>
      </c>
      <c r="S5" s="9">
        <v>1039</v>
      </c>
      <c r="T5" s="9">
        <v>1559</v>
      </c>
      <c r="U5" s="11">
        <v>0.333</v>
      </c>
    </row>
    <row r="6" ht="28" spans="1:21">
      <c r="A6" s="9" t="s">
        <v>28</v>
      </c>
      <c r="B6" s="9" t="s">
        <v>24</v>
      </c>
      <c r="C6" s="9" t="s">
        <v>25</v>
      </c>
      <c r="D6" s="9">
        <v>12461</v>
      </c>
      <c r="E6" s="9">
        <v>1040</v>
      </c>
      <c r="F6" s="9">
        <v>520</v>
      </c>
      <c r="G6" s="9">
        <v>1560</v>
      </c>
      <c r="H6" s="9">
        <v>520</v>
      </c>
      <c r="I6" s="9">
        <v>1039</v>
      </c>
      <c r="J6" s="9">
        <v>1559</v>
      </c>
      <c r="K6" s="9">
        <v>0</v>
      </c>
      <c r="L6" s="10">
        <v>0</v>
      </c>
      <c r="M6" s="9"/>
      <c r="N6" s="9"/>
      <c r="O6" s="9"/>
      <c r="P6" s="10"/>
      <c r="Q6" s="9"/>
      <c r="R6" s="9">
        <v>520</v>
      </c>
      <c r="S6" s="9">
        <v>1039</v>
      </c>
      <c r="T6" s="9">
        <v>1559</v>
      </c>
      <c r="U6" s="11">
        <v>0.333</v>
      </c>
    </row>
    <row r="7" ht="28" spans="1:21">
      <c r="A7" s="9" t="s">
        <v>28</v>
      </c>
      <c r="B7" s="9" t="s">
        <v>29</v>
      </c>
      <c r="C7" s="9" t="s">
        <v>30</v>
      </c>
      <c r="D7" s="9">
        <v>11943</v>
      </c>
      <c r="E7" s="9">
        <v>1040</v>
      </c>
      <c r="F7" s="9">
        <v>520</v>
      </c>
      <c r="G7" s="9">
        <v>1560</v>
      </c>
      <c r="H7" s="9">
        <v>520</v>
      </c>
      <c r="I7" s="9">
        <v>520</v>
      </c>
      <c r="J7" s="9">
        <v>1040</v>
      </c>
      <c r="K7" s="9"/>
      <c r="L7" s="10"/>
      <c r="M7" s="9"/>
      <c r="N7" s="9"/>
      <c r="O7" s="9"/>
      <c r="P7" s="10"/>
      <c r="Q7" s="9">
        <v>2</v>
      </c>
      <c r="R7" s="9">
        <v>520</v>
      </c>
      <c r="S7" s="9">
        <v>520</v>
      </c>
      <c r="T7" s="9">
        <v>1040</v>
      </c>
      <c r="U7" s="11">
        <v>0.333</v>
      </c>
    </row>
    <row r="8" ht="28" spans="1:21">
      <c r="A8" s="9" t="s">
        <v>28</v>
      </c>
      <c r="B8" s="9" t="s">
        <v>31</v>
      </c>
      <c r="C8" s="9" t="s">
        <v>32</v>
      </c>
      <c r="D8" s="9">
        <v>11943</v>
      </c>
      <c r="E8" s="9">
        <v>1040</v>
      </c>
      <c r="F8" s="9">
        <v>520</v>
      </c>
      <c r="G8" s="9">
        <v>1560</v>
      </c>
      <c r="H8" s="9">
        <v>520</v>
      </c>
      <c r="I8" s="9">
        <v>520</v>
      </c>
      <c r="J8" s="9">
        <v>1040</v>
      </c>
      <c r="K8" s="9"/>
      <c r="L8" s="10"/>
      <c r="M8" s="9"/>
      <c r="N8" s="9"/>
      <c r="O8" s="9"/>
      <c r="P8" s="10"/>
      <c r="Q8" s="9">
        <v>4</v>
      </c>
      <c r="R8" s="9">
        <v>520</v>
      </c>
      <c r="S8" s="9">
        <v>520</v>
      </c>
      <c r="T8" s="9">
        <v>1040</v>
      </c>
      <c r="U8" s="11">
        <v>0.333</v>
      </c>
    </row>
    <row r="9" spans="1:21">
      <c r="A9" s="9" t="s">
        <v>33</v>
      </c>
      <c r="B9" s="9" t="s">
        <v>22</v>
      </c>
      <c r="C9" s="9" t="s">
        <v>23</v>
      </c>
      <c r="D9" s="9">
        <v>22011</v>
      </c>
      <c r="E9" s="9">
        <v>1500</v>
      </c>
      <c r="F9" s="9">
        <v>1250</v>
      </c>
      <c r="G9" s="9">
        <v>2750</v>
      </c>
      <c r="H9" s="9">
        <v>1500</v>
      </c>
      <c r="I9" s="9">
        <v>2500</v>
      </c>
      <c r="J9" s="9">
        <v>4000</v>
      </c>
      <c r="K9" s="9"/>
      <c r="L9" s="10"/>
      <c r="M9" s="9"/>
      <c r="N9" s="9"/>
      <c r="O9" s="9"/>
      <c r="P9" s="10"/>
      <c r="Q9" s="9"/>
      <c r="R9" s="9">
        <v>1500</v>
      </c>
      <c r="S9" s="9">
        <v>2500</v>
      </c>
      <c r="T9" s="9">
        <v>4000</v>
      </c>
      <c r="U9" s="11">
        <v>0.545</v>
      </c>
    </row>
    <row r="10" ht="28" spans="1:21">
      <c r="A10" s="9" t="s">
        <v>33</v>
      </c>
      <c r="B10" s="9" t="s">
        <v>24</v>
      </c>
      <c r="C10" s="9" t="s">
        <v>25</v>
      </c>
      <c r="D10" s="9">
        <v>21267</v>
      </c>
      <c r="E10" s="9">
        <v>1500</v>
      </c>
      <c r="F10" s="9">
        <v>1250</v>
      </c>
      <c r="G10" s="9">
        <v>2750</v>
      </c>
      <c r="H10" s="9">
        <v>1500</v>
      </c>
      <c r="I10" s="9">
        <v>2500</v>
      </c>
      <c r="J10" s="9">
        <v>4000</v>
      </c>
      <c r="K10" s="9">
        <v>248</v>
      </c>
      <c r="L10" s="10">
        <v>0.1653</v>
      </c>
      <c r="M10" s="9"/>
      <c r="N10" s="9"/>
      <c r="O10" s="9"/>
      <c r="P10" s="10"/>
      <c r="Q10" s="9"/>
      <c r="R10" s="9">
        <v>1252</v>
      </c>
      <c r="S10" s="9">
        <v>2500</v>
      </c>
      <c r="T10" s="9">
        <v>3752</v>
      </c>
      <c r="U10" s="11">
        <v>0.455</v>
      </c>
    </row>
    <row r="11" ht="28" spans="1:21">
      <c r="A11" s="9" t="s">
        <v>33</v>
      </c>
      <c r="B11" s="9" t="s">
        <v>29</v>
      </c>
      <c r="C11" s="9" t="s">
        <v>30</v>
      </c>
      <c r="D11" s="9">
        <v>13521</v>
      </c>
      <c r="E11" s="9">
        <v>1500</v>
      </c>
      <c r="F11" s="9">
        <v>1250</v>
      </c>
      <c r="G11" s="9">
        <v>2750</v>
      </c>
      <c r="H11" s="9">
        <v>2</v>
      </c>
      <c r="I11" s="9">
        <v>1250</v>
      </c>
      <c r="J11" s="9">
        <v>1252</v>
      </c>
      <c r="K11" s="9"/>
      <c r="L11" s="10"/>
      <c r="M11" s="9"/>
      <c r="N11" s="9"/>
      <c r="O11" s="9"/>
      <c r="P11" s="10"/>
      <c r="Q11" s="9">
        <v>2</v>
      </c>
      <c r="R11" s="9">
        <v>2</v>
      </c>
      <c r="S11" s="9">
        <v>1250</v>
      </c>
      <c r="T11" s="9">
        <v>1252</v>
      </c>
      <c r="U11" s="11">
        <v>0.001</v>
      </c>
    </row>
    <row r="12" ht="28" spans="1:21">
      <c r="A12" s="9" t="s">
        <v>33</v>
      </c>
      <c r="B12" s="9" t="s">
        <v>31</v>
      </c>
      <c r="C12" s="9" t="s">
        <v>32</v>
      </c>
      <c r="D12" s="9">
        <v>13521</v>
      </c>
      <c r="E12" s="9">
        <v>1500</v>
      </c>
      <c r="F12" s="9">
        <v>1250</v>
      </c>
      <c r="G12" s="9">
        <v>2750</v>
      </c>
      <c r="H12" s="9">
        <v>2</v>
      </c>
      <c r="I12" s="9">
        <v>1250</v>
      </c>
      <c r="J12" s="9">
        <v>1252</v>
      </c>
      <c r="K12" s="9"/>
      <c r="L12" s="10"/>
      <c r="M12" s="9"/>
      <c r="N12" s="9"/>
      <c r="O12" s="9"/>
      <c r="P12" s="10"/>
      <c r="Q12" s="9">
        <v>4</v>
      </c>
      <c r="R12" s="9">
        <v>2</v>
      </c>
      <c r="S12" s="9">
        <v>1250</v>
      </c>
      <c r="T12" s="9">
        <v>1252</v>
      </c>
      <c r="U12" s="11">
        <v>0.001</v>
      </c>
    </row>
    <row r="13" ht="28" spans="1:21">
      <c r="A13" s="9" t="s">
        <v>34</v>
      </c>
      <c r="B13" s="9" t="s">
        <v>22</v>
      </c>
      <c r="C13" s="9" t="s">
        <v>23</v>
      </c>
      <c r="D13" s="9">
        <v>20593</v>
      </c>
      <c r="E13" s="9">
        <v>1960</v>
      </c>
      <c r="F13" s="9">
        <v>980</v>
      </c>
      <c r="G13" s="9">
        <v>2940</v>
      </c>
      <c r="H13" s="9">
        <v>981</v>
      </c>
      <c r="I13" s="9">
        <v>1944</v>
      </c>
      <c r="J13" s="9">
        <v>2925</v>
      </c>
      <c r="K13" s="9"/>
      <c r="L13" s="10"/>
      <c r="M13" s="9"/>
      <c r="N13" s="9"/>
      <c r="O13" s="9"/>
      <c r="P13" s="10"/>
      <c r="Q13" s="9"/>
      <c r="R13" s="9">
        <v>981</v>
      </c>
      <c r="S13" s="9">
        <v>1944</v>
      </c>
      <c r="T13" s="9">
        <v>2925</v>
      </c>
      <c r="U13" s="11">
        <v>0.334</v>
      </c>
    </row>
    <row r="14" ht="28" spans="1:21">
      <c r="A14" s="9" t="s">
        <v>34</v>
      </c>
      <c r="B14" s="9" t="s">
        <v>26</v>
      </c>
      <c r="C14" s="9" t="s">
        <v>27</v>
      </c>
      <c r="D14" s="9">
        <v>17677</v>
      </c>
      <c r="E14" s="9">
        <v>1960</v>
      </c>
      <c r="F14" s="9">
        <v>980</v>
      </c>
      <c r="G14" s="9">
        <v>2940</v>
      </c>
      <c r="H14" s="9">
        <v>981</v>
      </c>
      <c r="I14" s="9">
        <v>1944</v>
      </c>
      <c r="J14" s="9">
        <v>2925</v>
      </c>
      <c r="K14" s="9"/>
      <c r="L14" s="10"/>
      <c r="M14" s="9">
        <v>981</v>
      </c>
      <c r="N14" s="9">
        <v>981</v>
      </c>
      <c r="O14" s="9">
        <v>972</v>
      </c>
      <c r="P14" s="10">
        <v>0.9908</v>
      </c>
      <c r="Q14" s="9"/>
      <c r="R14" s="9">
        <v>990</v>
      </c>
      <c r="S14" s="9">
        <v>1944</v>
      </c>
      <c r="T14" s="9">
        <v>2934</v>
      </c>
      <c r="U14" s="11">
        <v>0.337</v>
      </c>
    </row>
    <row r="15" ht="28" spans="1:21">
      <c r="A15" s="9" t="s">
        <v>35</v>
      </c>
      <c r="B15" s="9" t="s">
        <v>22</v>
      </c>
      <c r="C15" s="9" t="s">
        <v>23</v>
      </c>
      <c r="D15" s="9">
        <v>18201</v>
      </c>
      <c r="E15" s="9">
        <v>1574</v>
      </c>
      <c r="F15" s="9">
        <v>1400</v>
      </c>
      <c r="G15" s="9">
        <v>2974</v>
      </c>
      <c r="H15" s="9">
        <v>874</v>
      </c>
      <c r="I15" s="9">
        <v>1399</v>
      </c>
      <c r="J15" s="9">
        <v>2273</v>
      </c>
      <c r="K15" s="9"/>
      <c r="L15" s="10"/>
      <c r="M15" s="9"/>
      <c r="N15" s="9"/>
      <c r="O15" s="9"/>
      <c r="P15" s="10"/>
      <c r="Q15" s="9"/>
      <c r="R15" s="9">
        <v>874</v>
      </c>
      <c r="S15" s="9">
        <v>1399</v>
      </c>
      <c r="T15" s="9">
        <v>2273</v>
      </c>
      <c r="U15" s="11">
        <v>0.294</v>
      </c>
    </row>
    <row r="16" ht="28" spans="1:21">
      <c r="A16" s="9" t="s">
        <v>35</v>
      </c>
      <c r="B16" s="9" t="s">
        <v>24</v>
      </c>
      <c r="C16" s="9" t="s">
        <v>25</v>
      </c>
      <c r="D16" s="9">
        <v>17679</v>
      </c>
      <c r="E16" s="9">
        <v>1574</v>
      </c>
      <c r="F16" s="9">
        <v>1400</v>
      </c>
      <c r="G16" s="9">
        <v>2974</v>
      </c>
      <c r="H16" s="9">
        <v>874</v>
      </c>
      <c r="I16" s="9">
        <v>1399</v>
      </c>
      <c r="J16" s="9">
        <v>2273</v>
      </c>
      <c r="K16" s="9">
        <v>174</v>
      </c>
      <c r="L16" s="10">
        <v>0.1991</v>
      </c>
      <c r="M16" s="9"/>
      <c r="N16" s="9"/>
      <c r="O16" s="9"/>
      <c r="P16" s="10"/>
      <c r="Q16" s="9"/>
      <c r="R16" s="9">
        <v>700</v>
      </c>
      <c r="S16" s="9">
        <v>1399</v>
      </c>
      <c r="T16" s="9">
        <v>2099</v>
      </c>
      <c r="U16" s="11">
        <v>0.235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"/>
  <sheetViews>
    <sheetView topLeftCell="L1" workbookViewId="0">
      <selection activeCell="R17" sqref="R17"/>
    </sheetView>
  </sheetViews>
  <sheetFormatPr defaultColWidth="9" defaultRowHeight="14"/>
  <cols>
    <col min="1" max="2" width="32" customWidth="1"/>
    <col min="3" max="21" width="14" customWidth="1"/>
    <col min="22" max="22" width="52" customWidth="1"/>
  </cols>
  <sheetData>
    <row r="1" ht="28" spans="1:22">
      <c r="A1" s="8" t="s">
        <v>0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  <c r="K1" s="8" t="s">
        <v>45</v>
      </c>
      <c r="L1" s="8" t="s">
        <v>46</v>
      </c>
      <c r="M1" s="8" t="s">
        <v>47</v>
      </c>
      <c r="N1" s="8" t="s">
        <v>48</v>
      </c>
      <c r="O1" s="8" t="s">
        <v>49</v>
      </c>
      <c r="P1" s="8" t="s">
        <v>50</v>
      </c>
      <c r="Q1" s="8" t="s">
        <v>10</v>
      </c>
      <c r="R1" s="8" t="s">
        <v>11</v>
      </c>
      <c r="S1" s="8" t="s">
        <v>14</v>
      </c>
      <c r="T1" s="8" t="s">
        <v>15</v>
      </c>
      <c r="U1" s="8" t="s">
        <v>16</v>
      </c>
      <c r="V1" s="8" t="s">
        <v>51</v>
      </c>
    </row>
    <row r="2" ht="28" spans="1:22">
      <c r="A2" s="9" t="s">
        <v>21</v>
      </c>
      <c r="B2" s="9" t="s">
        <v>52</v>
      </c>
      <c r="C2" s="9" t="s">
        <v>22</v>
      </c>
      <c r="D2" s="9" t="s">
        <v>24</v>
      </c>
      <c r="E2" s="9">
        <v>12055</v>
      </c>
      <c r="F2" s="9">
        <v>12055</v>
      </c>
      <c r="G2" s="9">
        <f t="shared" ref="G2:G11" si="0">E2-F2</f>
        <v>0</v>
      </c>
      <c r="H2" s="10">
        <f t="shared" ref="H2:H11" si="1">IFERROR(G2/E2,"")</f>
        <v>0</v>
      </c>
      <c r="I2" s="9">
        <v>180</v>
      </c>
      <c r="J2" s="9">
        <v>180</v>
      </c>
      <c r="K2" s="9">
        <f t="shared" ref="K2:K11" si="2">I2-J2</f>
        <v>0</v>
      </c>
      <c r="L2" s="10">
        <f t="shared" ref="L2:L11" si="3">IFERROR(K2/I2,"")</f>
        <v>0</v>
      </c>
      <c r="M2" s="9">
        <v>1072</v>
      </c>
      <c r="N2" s="9">
        <v>1072</v>
      </c>
      <c r="O2" s="9">
        <f t="shared" ref="O2:O11" si="4">M2-N2</f>
        <v>0</v>
      </c>
      <c r="P2" s="10">
        <f t="shared" ref="P2:P11" si="5">IFERROR(O2/M2,"")</f>
        <v>0</v>
      </c>
      <c r="Q2" s="9">
        <v>0</v>
      </c>
      <c r="R2" s="10">
        <v>0</v>
      </c>
      <c r="S2" s="9"/>
      <c r="T2" s="10"/>
      <c r="U2" s="9"/>
      <c r="V2" s="9" t="s">
        <v>53</v>
      </c>
    </row>
    <row r="3" ht="28" spans="1:22">
      <c r="A3" s="9" t="s">
        <v>28</v>
      </c>
      <c r="B3" s="9" t="s">
        <v>52</v>
      </c>
      <c r="C3" s="9" t="s">
        <v>22</v>
      </c>
      <c r="D3" s="9" t="s">
        <v>24</v>
      </c>
      <c r="E3" s="9">
        <v>12461</v>
      </c>
      <c r="F3" s="9">
        <v>12461</v>
      </c>
      <c r="G3" s="9">
        <f t="shared" si="0"/>
        <v>0</v>
      </c>
      <c r="H3" s="10">
        <f t="shared" si="1"/>
        <v>0</v>
      </c>
      <c r="I3" s="9">
        <v>520</v>
      </c>
      <c r="J3" s="9">
        <v>520</v>
      </c>
      <c r="K3" s="9">
        <f t="shared" si="2"/>
        <v>0</v>
      </c>
      <c r="L3" s="10">
        <f t="shared" si="3"/>
        <v>0</v>
      </c>
      <c r="M3" s="9">
        <v>1559</v>
      </c>
      <c r="N3" s="9">
        <v>1559</v>
      </c>
      <c r="O3" s="9">
        <f t="shared" si="4"/>
        <v>0</v>
      </c>
      <c r="P3" s="10">
        <f t="shared" si="5"/>
        <v>0</v>
      </c>
      <c r="Q3" s="9">
        <v>0</v>
      </c>
      <c r="R3" s="10">
        <v>0</v>
      </c>
      <c r="S3" s="9"/>
      <c r="T3" s="10"/>
      <c r="U3" s="9"/>
      <c r="V3" s="9" t="s">
        <v>54</v>
      </c>
    </row>
    <row r="4" spans="1:22">
      <c r="A4" s="9" t="s">
        <v>33</v>
      </c>
      <c r="B4" s="9" t="s">
        <v>52</v>
      </c>
      <c r="C4" s="9" t="s">
        <v>22</v>
      </c>
      <c r="D4" s="9" t="s">
        <v>24</v>
      </c>
      <c r="E4" s="9">
        <v>22011</v>
      </c>
      <c r="F4" s="9">
        <v>21267</v>
      </c>
      <c r="G4" s="9">
        <f t="shared" si="0"/>
        <v>744</v>
      </c>
      <c r="H4" s="10">
        <f t="shared" si="1"/>
        <v>0.033801281177593</v>
      </c>
      <c r="I4" s="9">
        <v>1500</v>
      </c>
      <c r="J4" s="9">
        <v>1252</v>
      </c>
      <c r="K4" s="9">
        <f t="shared" si="2"/>
        <v>248</v>
      </c>
      <c r="L4" s="10">
        <f t="shared" si="3"/>
        <v>0.165333333333333</v>
      </c>
      <c r="M4" s="9">
        <v>4000</v>
      </c>
      <c r="N4" s="9">
        <v>3752</v>
      </c>
      <c r="O4" s="9">
        <f t="shared" si="4"/>
        <v>248</v>
      </c>
      <c r="P4" s="10">
        <f t="shared" si="5"/>
        <v>0.062</v>
      </c>
      <c r="Q4" s="9">
        <v>248</v>
      </c>
      <c r="R4" s="10">
        <v>0.1653</v>
      </c>
      <c r="S4" s="9"/>
      <c r="T4" s="10"/>
      <c r="U4" s="9"/>
      <c r="V4" s="9" t="s">
        <v>55</v>
      </c>
    </row>
    <row r="5" ht="28" spans="1:22">
      <c r="A5" s="9" t="s">
        <v>35</v>
      </c>
      <c r="B5" s="9" t="s">
        <v>52</v>
      </c>
      <c r="C5" s="9" t="s">
        <v>22</v>
      </c>
      <c r="D5" s="9" t="s">
        <v>24</v>
      </c>
      <c r="E5" s="9">
        <v>18201</v>
      </c>
      <c r="F5" s="9">
        <v>17679</v>
      </c>
      <c r="G5" s="9">
        <f t="shared" si="0"/>
        <v>522</v>
      </c>
      <c r="H5" s="10">
        <f t="shared" si="1"/>
        <v>0.0286797428712708</v>
      </c>
      <c r="I5" s="9">
        <v>874</v>
      </c>
      <c r="J5" s="9">
        <v>700</v>
      </c>
      <c r="K5" s="9">
        <f t="shared" si="2"/>
        <v>174</v>
      </c>
      <c r="L5" s="10">
        <f t="shared" si="3"/>
        <v>0.19908466819222</v>
      </c>
      <c r="M5" s="9">
        <v>2273</v>
      </c>
      <c r="N5" s="9">
        <v>2099</v>
      </c>
      <c r="O5" s="9">
        <f t="shared" si="4"/>
        <v>174</v>
      </c>
      <c r="P5" s="10">
        <f t="shared" si="5"/>
        <v>0.0765508139023317</v>
      </c>
      <c r="Q5" s="9">
        <v>174</v>
      </c>
      <c r="R5" s="10">
        <v>0.1991</v>
      </c>
      <c r="S5" s="9"/>
      <c r="T5" s="10"/>
      <c r="U5" s="9"/>
      <c r="V5" s="9" t="s">
        <v>56</v>
      </c>
    </row>
    <row r="6" ht="28" spans="1:22">
      <c r="A6" s="9" t="s">
        <v>21</v>
      </c>
      <c r="B6" s="9" t="s">
        <v>57</v>
      </c>
      <c r="C6" s="9" t="s">
        <v>22</v>
      </c>
      <c r="D6" s="9" t="s">
        <v>26</v>
      </c>
      <c r="E6" s="9">
        <v>12055</v>
      </c>
      <c r="F6" s="9">
        <v>11650</v>
      </c>
      <c r="G6" s="9">
        <f t="shared" si="0"/>
        <v>405</v>
      </c>
      <c r="H6" s="10">
        <f t="shared" si="1"/>
        <v>0.0335960182496889</v>
      </c>
      <c r="I6" s="9">
        <v>180</v>
      </c>
      <c r="J6" s="9">
        <v>225</v>
      </c>
      <c r="K6" s="9">
        <f t="shared" si="2"/>
        <v>-45</v>
      </c>
      <c r="L6" s="10">
        <f t="shared" si="3"/>
        <v>-0.25</v>
      </c>
      <c r="M6" s="9">
        <v>1072</v>
      </c>
      <c r="N6" s="9">
        <v>1117</v>
      </c>
      <c r="O6" s="9">
        <f t="shared" si="4"/>
        <v>-45</v>
      </c>
      <c r="P6" s="10">
        <f t="shared" si="5"/>
        <v>-0.0419776119402985</v>
      </c>
      <c r="Q6" s="9"/>
      <c r="R6" s="10"/>
      <c r="S6" s="9">
        <v>135</v>
      </c>
      <c r="T6" s="10">
        <v>0.75</v>
      </c>
      <c r="U6" s="9"/>
      <c r="V6" s="9" t="s">
        <v>58</v>
      </c>
    </row>
    <row r="7" ht="28" spans="1:22">
      <c r="A7" s="9" t="s">
        <v>34</v>
      </c>
      <c r="B7" s="9" t="s">
        <v>57</v>
      </c>
      <c r="C7" s="9" t="s">
        <v>22</v>
      </c>
      <c r="D7" s="9" t="s">
        <v>26</v>
      </c>
      <c r="E7" s="9">
        <v>20593</v>
      </c>
      <c r="F7" s="9">
        <v>17677</v>
      </c>
      <c r="G7" s="9">
        <f t="shared" si="0"/>
        <v>2916</v>
      </c>
      <c r="H7" s="10">
        <f t="shared" si="1"/>
        <v>0.141601515077939</v>
      </c>
      <c r="I7" s="9">
        <v>981</v>
      </c>
      <c r="J7" s="9">
        <v>990</v>
      </c>
      <c r="K7" s="9">
        <f t="shared" si="2"/>
        <v>-9</v>
      </c>
      <c r="L7" s="10">
        <f t="shared" si="3"/>
        <v>-0.00917431192660551</v>
      </c>
      <c r="M7" s="9">
        <v>2925</v>
      </c>
      <c r="N7" s="9">
        <v>2934</v>
      </c>
      <c r="O7" s="9">
        <f t="shared" si="4"/>
        <v>-9</v>
      </c>
      <c r="P7" s="10">
        <f t="shared" si="5"/>
        <v>-0.00307692307692308</v>
      </c>
      <c r="Q7" s="9"/>
      <c r="R7" s="10"/>
      <c r="S7" s="9">
        <v>972</v>
      </c>
      <c r="T7" s="10">
        <v>0.9908</v>
      </c>
      <c r="U7" s="9"/>
      <c r="V7" s="9" t="s">
        <v>59</v>
      </c>
    </row>
    <row r="8" ht="28" spans="1:22">
      <c r="A8" s="9" t="s">
        <v>28</v>
      </c>
      <c r="B8" s="9" t="s">
        <v>60</v>
      </c>
      <c r="C8" s="9" t="s">
        <v>22</v>
      </c>
      <c r="D8" s="9" t="s">
        <v>29</v>
      </c>
      <c r="E8" s="9">
        <v>12461</v>
      </c>
      <c r="F8" s="9">
        <v>11943</v>
      </c>
      <c r="G8" s="9">
        <f t="shared" si="0"/>
        <v>518</v>
      </c>
      <c r="H8" s="10">
        <f t="shared" si="1"/>
        <v>0.0415696974560629</v>
      </c>
      <c r="I8" s="9">
        <v>520</v>
      </c>
      <c r="J8" s="9">
        <v>520</v>
      </c>
      <c r="K8" s="9">
        <f t="shared" si="2"/>
        <v>0</v>
      </c>
      <c r="L8" s="10">
        <f t="shared" si="3"/>
        <v>0</v>
      </c>
      <c r="M8" s="9">
        <v>1559</v>
      </c>
      <c r="N8" s="9">
        <v>1040</v>
      </c>
      <c r="O8" s="9">
        <f t="shared" si="4"/>
        <v>519</v>
      </c>
      <c r="P8" s="10">
        <f t="shared" si="5"/>
        <v>0.332905708787684</v>
      </c>
      <c r="Q8" s="9"/>
      <c r="R8" s="10"/>
      <c r="S8" s="9"/>
      <c r="T8" s="10"/>
      <c r="U8" s="9">
        <v>2</v>
      </c>
      <c r="V8" s="9" t="s">
        <v>61</v>
      </c>
    </row>
    <row r="9" ht="28" spans="1:22">
      <c r="A9" s="9" t="s">
        <v>33</v>
      </c>
      <c r="B9" s="9" t="s">
        <v>60</v>
      </c>
      <c r="C9" s="9" t="s">
        <v>22</v>
      </c>
      <c r="D9" s="9" t="s">
        <v>29</v>
      </c>
      <c r="E9" s="9">
        <v>22011</v>
      </c>
      <c r="F9" s="9">
        <v>13521</v>
      </c>
      <c r="G9" s="9">
        <f t="shared" si="0"/>
        <v>8490</v>
      </c>
      <c r="H9" s="10">
        <f t="shared" si="1"/>
        <v>0.385716232792695</v>
      </c>
      <c r="I9" s="9">
        <v>1500</v>
      </c>
      <c r="J9" s="9">
        <v>2</v>
      </c>
      <c r="K9" s="9">
        <f t="shared" si="2"/>
        <v>1498</v>
      </c>
      <c r="L9" s="10">
        <f t="shared" si="3"/>
        <v>0.998666666666667</v>
      </c>
      <c r="M9" s="9">
        <v>4000</v>
      </c>
      <c r="N9" s="9">
        <v>1252</v>
      </c>
      <c r="O9" s="9">
        <f t="shared" si="4"/>
        <v>2748</v>
      </c>
      <c r="P9" s="10">
        <f t="shared" si="5"/>
        <v>0.687</v>
      </c>
      <c r="Q9" s="9"/>
      <c r="R9" s="10"/>
      <c r="S9" s="9"/>
      <c r="T9" s="10"/>
      <c r="U9" s="9">
        <v>2</v>
      </c>
      <c r="V9" s="9" t="s">
        <v>62</v>
      </c>
    </row>
    <row r="10" ht="28" spans="1:22">
      <c r="A10" s="9" t="s">
        <v>28</v>
      </c>
      <c r="B10" s="9" t="s">
        <v>63</v>
      </c>
      <c r="C10" s="9" t="s">
        <v>22</v>
      </c>
      <c r="D10" s="9" t="s">
        <v>31</v>
      </c>
      <c r="E10" s="9">
        <v>12461</v>
      </c>
      <c r="F10" s="9">
        <v>11943</v>
      </c>
      <c r="G10" s="9">
        <f t="shared" si="0"/>
        <v>518</v>
      </c>
      <c r="H10" s="10">
        <f t="shared" si="1"/>
        <v>0.0415696974560629</v>
      </c>
      <c r="I10" s="9">
        <v>520</v>
      </c>
      <c r="J10" s="9">
        <v>520</v>
      </c>
      <c r="K10" s="9">
        <f t="shared" si="2"/>
        <v>0</v>
      </c>
      <c r="L10" s="10">
        <f t="shared" si="3"/>
        <v>0</v>
      </c>
      <c r="M10" s="9">
        <v>1559</v>
      </c>
      <c r="N10" s="9">
        <v>1040</v>
      </c>
      <c r="O10" s="9">
        <f t="shared" si="4"/>
        <v>519</v>
      </c>
      <c r="P10" s="10">
        <f t="shared" si="5"/>
        <v>0.332905708787684</v>
      </c>
      <c r="Q10" s="9"/>
      <c r="R10" s="10"/>
      <c r="S10" s="9"/>
      <c r="T10" s="10"/>
      <c r="U10" s="9">
        <v>4</v>
      </c>
      <c r="V10" s="9" t="s">
        <v>64</v>
      </c>
    </row>
    <row r="11" ht="28" spans="1:22">
      <c r="A11" s="9" t="s">
        <v>33</v>
      </c>
      <c r="B11" s="9" t="s">
        <v>63</v>
      </c>
      <c r="C11" s="9" t="s">
        <v>22</v>
      </c>
      <c r="D11" s="9" t="s">
        <v>31</v>
      </c>
      <c r="E11" s="9">
        <v>22011</v>
      </c>
      <c r="F11" s="9">
        <v>13521</v>
      </c>
      <c r="G11" s="9">
        <f t="shared" si="0"/>
        <v>8490</v>
      </c>
      <c r="H11" s="10">
        <f t="shared" si="1"/>
        <v>0.385716232792695</v>
      </c>
      <c r="I11" s="9">
        <v>1500</v>
      </c>
      <c r="J11" s="9">
        <v>2</v>
      </c>
      <c r="K11" s="9">
        <f t="shared" si="2"/>
        <v>1498</v>
      </c>
      <c r="L11" s="10">
        <f t="shared" si="3"/>
        <v>0.998666666666667</v>
      </c>
      <c r="M11" s="9">
        <v>4000</v>
      </c>
      <c r="N11" s="9">
        <v>1252</v>
      </c>
      <c r="O11" s="9">
        <f t="shared" si="4"/>
        <v>2748</v>
      </c>
      <c r="P11" s="10">
        <f t="shared" si="5"/>
        <v>0.687</v>
      </c>
      <c r="Q11" s="9"/>
      <c r="R11" s="10"/>
      <c r="S11" s="9"/>
      <c r="T11" s="10"/>
      <c r="U11" s="9">
        <v>4</v>
      </c>
      <c r="V11" s="9" t="s">
        <v>65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C13" sqref="C13"/>
    </sheetView>
  </sheetViews>
  <sheetFormatPr defaultColWidth="9" defaultRowHeight="14"/>
  <cols>
    <col min="1" max="1" width="30" customWidth="1"/>
    <col min="2" max="6" width="12" customWidth="1"/>
    <col min="7" max="7" width="18" customWidth="1"/>
    <col min="8" max="8" width="60" customWidth="1"/>
    <col min="9" max="9" width="58" customWidth="1"/>
  </cols>
  <sheetData>
    <row r="1" ht="28" spans="1:10">
      <c r="A1" s="1" t="s">
        <v>0</v>
      </c>
      <c r="B1" s="1" t="s">
        <v>66</v>
      </c>
      <c r="C1" s="1" t="s">
        <v>67</v>
      </c>
      <c r="D1" s="1" t="s">
        <v>42</v>
      </c>
      <c r="E1" s="1" t="s">
        <v>68</v>
      </c>
      <c r="F1" s="1" t="s">
        <v>69</v>
      </c>
      <c r="G1" s="1" t="s">
        <v>46</v>
      </c>
      <c r="H1" s="1" t="s">
        <v>10</v>
      </c>
      <c r="I1" s="1" t="s">
        <v>70</v>
      </c>
      <c r="J1" s="2"/>
    </row>
    <row r="2" spans="1:10">
      <c r="A2" s="3" t="s">
        <v>33</v>
      </c>
      <c r="B2" s="3">
        <v>22011</v>
      </c>
      <c r="C2" s="3">
        <v>21267</v>
      </c>
      <c r="D2" s="4">
        <f>IFERROR((B2-C2)/B2,"")</f>
        <v>0.033801281177593</v>
      </c>
      <c r="E2" s="3">
        <v>1500</v>
      </c>
      <c r="F2" s="3">
        <v>1252</v>
      </c>
      <c r="G2" s="4">
        <f>IFERROR((E2-F2)/E2,"")</f>
        <v>0.165333333333333</v>
      </c>
      <c r="H2" s="3">
        <v>248</v>
      </c>
      <c r="I2" s="3" t="s">
        <v>71</v>
      </c>
    </row>
    <row r="3" spans="1:10">
      <c r="A3" s="3" t="s">
        <v>35</v>
      </c>
      <c r="B3" s="3">
        <v>18201</v>
      </c>
      <c r="C3" s="3">
        <v>17679</v>
      </c>
      <c r="D3" s="4">
        <f>IFERROR((B3-C3)/B3,"")</f>
        <v>0.0286797428712708</v>
      </c>
      <c r="E3" s="3">
        <v>874</v>
      </c>
      <c r="F3" s="3">
        <v>700</v>
      </c>
      <c r="G3" s="4">
        <f>IFERROR((E3-F3)/E3,"")</f>
        <v>0.19908466819222</v>
      </c>
      <c r="H3" s="3">
        <v>174</v>
      </c>
      <c r="I3" s="3" t="s">
        <v>72</v>
      </c>
    </row>
    <row r="4" spans="1:10">
      <c r="A4" s="3" t="s">
        <v>28</v>
      </c>
      <c r="B4" s="3">
        <v>12461</v>
      </c>
      <c r="C4" s="3">
        <v>12461</v>
      </c>
      <c r="D4" s="4">
        <f>IFERROR((B4-C4)/B4,"")</f>
        <v>0</v>
      </c>
      <c r="E4" s="3">
        <v>520</v>
      </c>
      <c r="F4" s="3">
        <v>520</v>
      </c>
      <c r="G4" s="4">
        <f>IFERROR((E4-F4)/E4,"")</f>
        <v>0</v>
      </c>
      <c r="H4" s="3">
        <v>0</v>
      </c>
      <c r="I4" s="3" t="s">
        <v>73</v>
      </c>
    </row>
    <row r="5" spans="1:10">
      <c r="D5" s="5"/>
      <c r="G5" s="5"/>
    </row>
    <row r="6" spans="1:10">
      <c r="D6" s="5"/>
      <c r="G6" s="5"/>
    </row>
    <row r="7" spans="1:10">
      <c r="D7" s="5"/>
      <c r="G7" s="5"/>
    </row>
    <row r="8" ht="28" spans="1:10">
      <c r="A8" s="1" t="s">
        <v>0</v>
      </c>
      <c r="B8" s="1" t="s">
        <v>66</v>
      </c>
      <c r="C8" s="1" t="s">
        <v>74</v>
      </c>
      <c r="D8" s="6" t="s">
        <v>42</v>
      </c>
      <c r="E8" s="1" t="s">
        <v>14</v>
      </c>
      <c r="F8" s="1" t="s">
        <v>15</v>
      </c>
      <c r="G8" s="6" t="s">
        <v>75</v>
      </c>
      <c r="H8" s="1" t="s">
        <v>70</v>
      </c>
    </row>
    <row r="9" spans="1:10">
      <c r="A9" s="3" t="s">
        <v>21</v>
      </c>
      <c r="B9" s="3">
        <v>12055</v>
      </c>
      <c r="C9" s="3">
        <v>11650</v>
      </c>
      <c r="D9" s="4">
        <f>IFERROR((B9-C9)/B9,"")</f>
        <v>0.0335960182496889</v>
      </c>
      <c r="E9" s="3">
        <v>135</v>
      </c>
      <c r="F9" s="4">
        <v>0.75</v>
      </c>
      <c r="G9" s="4">
        <f>225-180</f>
        <v>45</v>
      </c>
      <c r="H9" s="3" t="s">
        <v>76</v>
      </c>
    </row>
    <row r="10" spans="1:10">
      <c r="A10" s="3" t="s">
        <v>34</v>
      </c>
      <c r="B10" s="3">
        <v>20593</v>
      </c>
      <c r="C10" s="3">
        <v>17677</v>
      </c>
      <c r="D10" s="4">
        <f>IFERROR((B10-C10)/B10,"")</f>
        <v>0.141601515077939</v>
      </c>
      <c r="E10" s="3">
        <v>972</v>
      </c>
      <c r="F10" s="4">
        <v>0.9908</v>
      </c>
      <c r="G10" s="4">
        <f>990-981</f>
        <v>9</v>
      </c>
      <c r="H10" s="3" t="s">
        <v>77</v>
      </c>
    </row>
    <row r="11" spans="1:10">
      <c r="D11" s="5"/>
      <c r="F11" s="5"/>
    </row>
    <row r="12" spans="1:10">
      <c r="D12" s="5"/>
      <c r="F12" s="5"/>
    </row>
    <row r="14" ht="28" spans="1:10">
      <c r="A14" s="1" t="s">
        <v>0</v>
      </c>
      <c r="B14" s="1" t="s">
        <v>1</v>
      </c>
      <c r="C14" s="1" t="s">
        <v>3</v>
      </c>
      <c r="D14" s="1" t="s">
        <v>17</v>
      </c>
      <c r="E14" s="1" t="s">
        <v>18</v>
      </c>
      <c r="F14" s="1" t="s">
        <v>19</v>
      </c>
      <c r="G14" s="1" t="s">
        <v>20</v>
      </c>
      <c r="H14" s="1" t="s">
        <v>70</v>
      </c>
    </row>
    <row r="15" spans="1:10">
      <c r="A15" s="3" t="s">
        <v>28</v>
      </c>
      <c r="B15" s="3" t="s">
        <v>22</v>
      </c>
      <c r="C15" s="3">
        <v>12461</v>
      </c>
      <c r="D15" s="3">
        <v>520</v>
      </c>
      <c r="E15" s="3">
        <v>1039</v>
      </c>
      <c r="F15" s="3">
        <v>1559</v>
      </c>
      <c r="G15" s="7">
        <v>0.333</v>
      </c>
      <c r="H15" s="3" t="s">
        <v>78</v>
      </c>
    </row>
    <row r="16" spans="1:10">
      <c r="A16" s="3" t="s">
        <v>28</v>
      </c>
      <c r="B16" s="3" t="s">
        <v>29</v>
      </c>
      <c r="C16" s="3">
        <v>11943</v>
      </c>
      <c r="D16" s="3">
        <v>520</v>
      </c>
      <c r="E16" s="3">
        <v>520</v>
      </c>
      <c r="F16" s="3">
        <v>1040</v>
      </c>
      <c r="G16" s="7">
        <v>0.333</v>
      </c>
      <c r="H16" s="3" t="s">
        <v>79</v>
      </c>
    </row>
    <row r="17" spans="1:8">
      <c r="A17" s="3" t="s">
        <v>28</v>
      </c>
      <c r="B17" s="3" t="s">
        <v>31</v>
      </c>
      <c r="C17" s="3">
        <v>11943</v>
      </c>
      <c r="D17" s="3">
        <v>520</v>
      </c>
      <c r="E17" s="3">
        <v>520</v>
      </c>
      <c r="F17" s="3">
        <v>1040</v>
      </c>
      <c r="G17" s="7">
        <v>0.333</v>
      </c>
      <c r="H17" s="3" t="s">
        <v>79</v>
      </c>
    </row>
    <row r="18" spans="1:8">
      <c r="A18" s="3" t="s">
        <v>33</v>
      </c>
      <c r="B18" s="3" t="s">
        <v>22</v>
      </c>
      <c r="C18" s="3">
        <v>22011</v>
      </c>
      <c r="D18" s="3">
        <v>1500</v>
      </c>
      <c r="E18" s="3">
        <v>2500</v>
      </c>
      <c r="F18" s="3">
        <v>4000</v>
      </c>
      <c r="G18" s="7">
        <v>0.545</v>
      </c>
      <c r="H18" s="3" t="s">
        <v>78</v>
      </c>
    </row>
    <row r="19" spans="1:8">
      <c r="A19" s="3" t="s">
        <v>33</v>
      </c>
      <c r="B19" s="3" t="s">
        <v>29</v>
      </c>
      <c r="C19" s="3">
        <v>13521</v>
      </c>
      <c r="D19" s="3">
        <v>2</v>
      </c>
      <c r="E19" s="3">
        <v>1250</v>
      </c>
      <c r="F19" s="3">
        <v>1252</v>
      </c>
      <c r="G19" s="7">
        <v>0.001</v>
      </c>
      <c r="H19" s="3" t="s">
        <v>80</v>
      </c>
    </row>
    <row r="20" spans="1:8">
      <c r="A20" s="3" t="s">
        <v>33</v>
      </c>
      <c r="B20" s="3" t="s">
        <v>31</v>
      </c>
      <c r="C20" s="3">
        <v>13521</v>
      </c>
      <c r="D20" s="3">
        <v>2</v>
      </c>
      <c r="E20" s="3">
        <v>1250</v>
      </c>
      <c r="F20" s="3">
        <v>1252</v>
      </c>
      <c r="G20" s="7">
        <v>0.001</v>
      </c>
      <c r="H20" s="3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Results</vt:lpstr>
      <vt:lpstr>Comparison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WPS_1655820654</cp:lastModifiedBy>
  <dcterms:created xsi:type="dcterms:W3CDTF">2026-06-30T08:02:38Z</dcterms:created>
  <dcterms:modified xsi:type="dcterms:W3CDTF">2026-06-30T08:16:27Z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21C17E0E229D47028B1F47CAC078552F_13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